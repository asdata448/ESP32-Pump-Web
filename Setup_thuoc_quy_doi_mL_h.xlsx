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VS_CODE\esp32\esp\"/>
    </mc:Choice>
  </mc:AlternateContent>
  <xr:revisionPtr revIDLastSave="0" documentId="13_ncr:1_{3CB47D08-419E-44EF-9453-A63D4D109550}" xr6:coauthVersionLast="47" xr6:coauthVersionMax="47" xr10:uidLastSave="{00000000-0000-0000-0000-000000000000}"/>
  <bookViews>
    <workbookView xWindow="-98" yWindow="-98" windowWidth="23236" windowHeight="13875" activeTab="2" xr2:uid="{00000000-000D-0000-FFFF-FFFF00000000}"/>
  </bookViews>
  <sheets>
    <sheet name="Sheet1" sheetId="1" r:id="rId1"/>
    <sheet name="Quy doi mL-h" sheetId="2" r:id="rId2"/>
    <sheet name="Preset nhập má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2" l="1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</calcChain>
</file>

<file path=xl/sharedStrings.xml><?xml version="1.0" encoding="utf-8"?>
<sst xmlns="http://schemas.openxmlformats.org/spreadsheetml/2006/main" count="180" uniqueCount="146">
  <si>
    <t>Đối tượng</t>
  </si>
  <si>
    <t>Thuốc/nhóm thuốc</t>
  </si>
  <si>
    <t>Nồng độ gợi ý</t>
  </si>
  <si>
    <t>Dải tốc độ truyền</t>
  </si>
  <si>
    <t>Giá trị mặc định gợi ý</t>
  </si>
  <si>
    <t>Giới hạn cảnh báo</t>
  </si>
  <si>
    <t>Cài đặt bolus</t>
  </si>
  <si>
    <t>Ghi chú an toàn</t>
  </si>
  <si>
    <t>Người lớn đau cấp, truyền opioid liên tục</t>
  </si>
  <si>
    <t>Morphine IV liên tục</t>
  </si>
  <si>
    <t>1 mg/mL</t>
  </si>
  <si>
    <t>1–15 mg/h</t>
  </si>
  <si>
    <t>1 mg/h nếu opioid-naive; 1–2 mg/h nếu cần khởi đầu có giám sát sát hơn</t>
  </si>
  <si>
    <t>Áp lực Trung bình; VTBI near-end 10 phút; syringe-end 3–5 phút; KVO 0,1–1 mL/h</t>
  </si>
  <si>
    <t>Bolus do nhân viên y tế 1–2 mg nếu có y lệnh; không bật bolus bệnh nhân tự bấm</t>
  </si>
  <si>
    <t>Người già/suy thận cần giảm liều; theo dõi RR, SpO2, mức an thần; dùng syringe nhỏ nhất phù hợp để rút ngắn thời gian phát hiện tắc. </t>
  </si>
  <si>
    <t>ICU người lớn thở máy</t>
  </si>
  <si>
    <t>Propofol 1% an thần</t>
  </si>
  <si>
    <t>10 mg/mL</t>
  </si>
  <si>
    <t>0,3–4 mg/kg/h; nhiều protocol bắt đầu ở 10 mcg/kg/min rồi chỉnh lên</t>
  </si>
  <si>
    <t>0,5–1 mg/kg/h rồi chỉnh theo đích RASS</t>
  </si>
  <si>
    <t>Áp lực Trung bình; VTBI/time active; battery pre-alarm bật; ưu tiên tốc độ theo đơn vị mg/kg/h</t>
  </si>
  <si>
    <t>Thường tắt bolus; nếu bác sĩ chủ động tăng nhanh độ sâu an thần, bolus 10–20 mg có thể được dùng trong môi trường giám sát</t>
  </si>
  <si>
    <t>Chỉ dùng cho người bệnh ICU có theo dõi hô hấp-tuần hoàn; không dùng an thần ICU bằng propofol cho ≤16 tuổi theo nhãn thuốc này; theo dõi hạ HA, triglycerid và nguy cơ PRIS. </t>
  </si>
  <si>
    <t>ICU sốc, người lớn</t>
  </si>
  <si>
    <t>Noradrenalin/norepinephrine</t>
  </si>
  <si>
    <t>80 mcg/mL chuẩn; 160 mcg/mL khi cần giảm lưu lượng</t>
  </si>
  <si>
    <t>Thường titrate theo 0,01–0,4 mcg/kg/min; ở dung dịch 80 mcg/mL có thể khởi đầu 2–5 mL/h rồi tăng/giảm 1 mL/h</t>
  </si>
  <si>
    <t>0,05 mcg/kg/min hoặc 2–5 mL/h với nồng độ 80 mcg/mL</t>
  </si>
  <si>
    <t>Áp lực Cao; near-end 10 phút; báo nurse-call bật; ưu tiên thay syringe kiểu relay nếu hệ cho phép</t>
  </si>
  <si>
    <t>Tắt bolus; nếu bơm có ramp/step, nên dùng bước nhỏ 0,01–0,02 mcg/kg/min hoặc 1 mL/h</t>
  </si>
  <si>
    <t>Dùng đường trung tâm và cổng riêng, theo dõi ECG/BP liên tục; nếu nhu cầu &gt;0,4 mcg/kg/min hoặc tăng nhanh phải báo bác sĩ/ICU. </t>
  </si>
  <si>
    <t>Nhi khoa, truyền kháng sinh ngắt quãng</t>
  </si>
  <si>
    <t>Vancomycin IV</t>
  </si>
  <si>
    <t>5 mg/mL thường quy; 10 mg/mL chỉ khi hạn chế dịch và có đường trung tâm</t>
  </si>
  <si>
    <t>Tốc độ = VTBI / thời gian; thường truyền ≥60 phút, với liều lớn giữ trần 10 mg/phút</t>
  </si>
  <si>
    <t>Preset mặc định: duration 60 phút, rate auto-calc từ VTBI; bolus tắt</t>
  </si>
  <si>
    <t>Áp lực Thấp–Trung bình; VTBI exact; near-end 10 phút</t>
  </si>
  <si>
    <t>Không bolus</t>
  </si>
  <si>
    <t>Liều khởi đầu công khai: 15 mg/kg/lần mỗi 6 giờ ở trẻ ≥4 tuần; cần TDM/creatinin; nếu có phản ứng truyền, kéo dài ít nhất 2 giờ lần sau. </t>
  </si>
  <si>
    <t>Sơ sinh/NICU</t>
  </si>
  <si>
    <t>PN/Lipid</t>
  </si>
  <si>
    <t>Lipid 20% qua syringe pump; PN nước là bag chuẩn hóa</t>
  </si>
  <si>
    <t>Lipid 10–20 mL/kg/ngày tương đương 0,4–0,8 mL/kg/h; PN nước thường 60–100 mL/kg/ngày tương đương 2,5–4,2 mL/kg/h tùy ngày tuổi/giai đoạn</t>
  </si>
  <si>
    <t>Với lipid qua syringe pump, preset khởi đầu thực hành hay dùng là 15 mL/kg/ngày ≈ 0,6 mL/kg/h; bolus tắt</t>
  </si>
  <si>
    <t>Áp lực Thấp; truyền liên tục 24 giờ; nurse-call bật; cảnh báo gần hết ưu tiên sớm vì lưu lượng rất thấp</t>
  </si>
  <si>
    <t>PN nước cần che sáng, lọc 0,2 μm, tối đa kết nối 48 giờ; lipid syringe tối đa 24 giờ; TPN kéo dài nên hạn chế và chuyển sang nuôi dưỡng tiêu hóa sớm khi có thể. </t>
  </si>
  <si>
    <t>Sau mổ, người lớn, PCA opioid-naive</t>
  </si>
  <si>
    <t>Morphine PCA</t>
  </si>
  <si>
    <t>Basal mặc định tắt; bolus 1 mg; lockout 5 phút</t>
  </si>
  <si>
    <t>1 mg/bolus, lockout 5 phút, không nền, loading dose bác sĩ 1–2 mg nếu cần</t>
  </si>
  <si>
    <t>Áp lực Trung bình; door/data lock bật; nếu hệ có, bật PCA pause/EtCO2 ở người bệnh nguy cơ cao; 4-hour cap có thể cấu hình, mức dùng phổ biến là 30 mg/4 h</t>
  </si>
  <si>
    <t>PCA bolus 1 mg; no background by default</t>
  </si>
  <si>
    <t>Đây là cấu hình công khai phổ biến cho PCA morphine người lớn; người &lt;50 kg có nơi dùng nửa liều chuẩn; cần theo dõi hô hấp/an thần có hệ thống. </t>
  </si>
  <si>
    <t>Dải tốc độ truyền quy đổi (mL/h)</t>
  </si>
  <si>
    <t>Giá trị mặc định quy đổi (mL/h)</t>
  </si>
  <si>
    <t>Giả định/công thức quy đổi</t>
  </si>
  <si>
    <t>1–15 mL/h</t>
  </si>
  <si>
    <t>1 mL/h nếu opioid-naive; 1–2 mL/h nếu cần khởi đầu có giám sát</t>
  </si>
  <si>
    <t>Morphine 1 mg/mL: tốc độ (mL/h) = liều (mg/h) ÷ nồng độ (mg/mL).</t>
  </si>
  <si>
    <t>0,03–0,40 × cân nặng (kg) mL/h; ví dụ 70 kg: 2,1–28 mL/h</t>
  </si>
  <si>
    <t>0,05–0,10 × cân nặng (kg) mL/h; ví dụ 70 kg: 3,5–7 mL/h</t>
  </si>
  <si>
    <t>Propofol 10 mg/mL: mL/h = [mg/kg/h × cân nặng] ÷ 10. 10 mcg/kg/min = 0,6 mg/kg/h.</t>
  </si>
  <si>
    <t>80 mcg/mL: 0,0075–0,30 × cân nặng (kg) mL/h; ví dụ 70 kg: 0,5–21 mL/h. Nếu 160 mcg/mL thì bằng 1/2.</t>
  </si>
  <si>
    <t>0,05 mcg/kg/min: 0,0375 × kg; ví dụ 70 kg ≈ 2,6 mL/h. Có thể đặt preset 2–5 mL/h để titrate.</t>
  </si>
  <si>
    <t>Noradrenalin: mL/h = [mcg/kg/min × cân nặng × 60] ÷ nồng độ (mcg/mL).</t>
  </si>
  <si>
    <t>Nếu preset theo thời gian 60 phút: syringe 10 mL → 10 mL/h; syringe 20 mL → 20 mL/h.</t>
  </si>
  <si>
    <t>20 mL/h, VTBI 20 mL, thời gian ≈ 60 phút; hoặc 10 mL/h, VTBI 10 mL.</t>
  </si>
  <si>
    <t>Vancomycin phụ thuộc liều và pha loãng. Nếu 15 mg/kg ở 10 mg/mL truyền 60 phút: rate = 1,5 × kg mL/h; ở 5 mg/mL: rate = 3 × kg mL/h.</t>
  </si>
  <si>
    <t>Lipid: 0,4–0,8 mL/kg/h; ví dụ sơ sinh 3 kg: 1,2–2,4 mL/h. PN nước: 2,5–4,2 mL/kg/h.</t>
  </si>
  <si>
    <t>Lipid 0,6 mL/kg/h; ví dụ sơ sinh 3 kg: 1,8 mL/h.</t>
  </si>
  <si>
    <t>Dòng này vốn đã gần với đơn vị mL/kg/h; muốn nhập vào máy phải nhân với cân nặng.</t>
  </si>
  <si>
    <t>Bolus 1 mg = 1 mL. Nếu truyền trong 1 phút: 60 mL/h; nếu 2 phút: 30 mL/h.</t>
  </si>
  <si>
    <t>Basal 0 mL/h; bolus nhân viên 1 mL tại 60 mL/h nếu cần mô phỏng bolus 1 phút.</t>
  </si>
  <si>
    <t>Máy chỉ có rate + VTBI thì không phải PCA thật vì thiếu lockout và nút bệnh nhân tự bấm.</t>
  </si>
  <si>
    <t>BẢNG QUY ĐỔI PRESET VỀ ĐƠN VỊ mL/h CHO MÁY BƠM TIÊM ĐIỆN</t>
  </si>
  <si>
    <t>Cân nặng người lớn ví dụ (kg)</t>
  </si>
  <si>
    <t>Cân nặng trẻ em ví dụ (kg)</t>
  </si>
  <si>
    <t>Cân nặng sơ sinh ví dụ (kg)</t>
  </si>
  <si>
    <t>Lưu ý</t>
  </si>
  <si>
    <t>Các giá trị dùng cho mô phỏng/đồ án; không dùng trực tiếp cho điều trị khi chưa có y lệnh và kiểm tra chuyên môn.</t>
  </si>
  <si>
    <t>STT</t>
  </si>
  <si>
    <t>Preset</t>
  </si>
  <si>
    <t>Nồng độ/quy ước</t>
  </si>
  <si>
    <t>Công thức quy đổi</t>
  </si>
  <si>
    <t>Dải min (mL/h)</t>
  </si>
  <si>
    <t>Dải max (mL/h)</t>
  </si>
  <si>
    <t>Mặc định min (mL/h)</t>
  </si>
  <si>
    <t>Mặc định max (mL/h)</t>
  </si>
  <si>
    <t>VTBI gợi ý bơm 10 mL</t>
  </si>
  <si>
    <t>VTBI gợi ý bơm 20 mL</t>
  </si>
  <si>
    <t>Ghi chú cài đặt</t>
  </si>
  <si>
    <t>mg/h ÷ mg/mL</t>
  </si>
  <si>
    <t>10 mL</t>
  </si>
  <si>
    <t>20 mL</t>
  </si>
  <si>
    <t>Dải 1–15 mg/h quy đổi trực tiếp thành 1–15 mL/h.</t>
  </si>
  <si>
    <t>Propofol 1% ICU</t>
  </si>
  <si>
    <t>(mg/kg/h × kg) ÷ 10</t>
  </si>
  <si>
    <t>Ví dụ theo cân nặng người lớn ở ô B2. Giới hạn 4 mg/kg/h tương ứng tốc độ cao.</t>
  </si>
  <si>
    <t>Noradrenalin 80 mcg/mL</t>
  </si>
  <si>
    <t>80 mcg/mL</t>
  </si>
  <si>
    <t>(mcg/kg/min × kg × 60) ÷ 80</t>
  </si>
  <si>
    <t>Nếu dùng 160 mcg/mL thì chia đôi các tốc độ mL/h.</t>
  </si>
  <si>
    <t>Vancomycin truyền 60 phút</t>
  </si>
  <si>
    <t>10 mg/mL, 15 mg/kg/lần</t>
  </si>
  <si>
    <t>(15 × kg ÷ 10) ÷ 1 giờ</t>
  </si>
  <si>
    <t>Theo VTBI</t>
  </si>
  <si>
    <t>Nếu đặt theo thời gian 60 phút: rate = VTBI; 10 mL → 10 mL/h, 20 mL → 20 mL/h.</t>
  </si>
  <si>
    <t>Lipid 20% sơ sinh</t>
  </si>
  <si>
    <t>mL/kg/h</t>
  </si>
  <si>
    <t>mL/kg/h × kg</t>
  </si>
  <si>
    <t>Ví dụ theo cân nặng sơ sinh ở ô B4.</t>
  </si>
  <si>
    <t>Morphine bolus/PCA mô phỏng</t>
  </si>
  <si>
    <t>1 mL trong 1–2 phút</t>
  </si>
  <si>
    <t>1 mL</t>
  </si>
  <si>
    <t>Không phải PCA thật nếu máy không có lockout. Chỉ nên mô phỏng bolus do nhân viên kiểm soát.</t>
  </si>
  <si>
    <t>GỢI Ý PRESET NHẬP VÀO MÁY: TỐC ĐỘ TRUYỀN + THỂ TÍCH TRUYỀN</t>
  </si>
  <si>
    <t>Tên preset</t>
  </si>
  <si>
    <t>Syringe</t>
  </si>
  <si>
    <t>Tốc độ truyền mặc định (mL/h)</t>
  </si>
  <si>
    <t>Dải cho phép (mL/h)</t>
  </si>
  <si>
    <t>Thể tích truyền/VTBI (mL)</t>
  </si>
  <si>
    <t>Thời gian ước tính</t>
  </si>
  <si>
    <t>Đối tượng dùng trong đồ án</t>
  </si>
  <si>
    <t>Cảnh báo</t>
  </si>
  <si>
    <t>Ghi chú</t>
  </si>
  <si>
    <t>1–5</t>
  </si>
  <si>
    <t>≈10 giờ</t>
  </si>
  <si>
    <t>Người lớn đau cấp</t>
  </si>
  <si>
    <t>1–15</t>
  </si>
  <si>
    <t>2.1–28</t>
  </si>
  <si>
    <t>≈5 giờ 43 phút</t>
  </si>
  <si>
    <t>≈2 giờ 51 phút</t>
  </si>
  <si>
    <t>0.5–21</t>
  </si>
  <si>
    <t>≈7 giờ 41 phút</t>
  </si>
  <si>
    <t>ICU sốc người lớn</t>
  </si>
  <si>
    <t>≈4 giờ</t>
  </si>
  <si>
    <t>10</t>
  </si>
  <si>
    <t>≈60 phút</t>
  </si>
  <si>
    <t>Nhi khoa/kháng sinh ngắt quãng</t>
  </si>
  <si>
    <t>20</t>
  </si>
  <si>
    <t>1.2–2.4</t>
  </si>
  <si>
    <t>≈5 giờ 33 phút</t>
  </si>
  <si>
    <t>30–60</t>
  </si>
  <si>
    <t>≈1 phút</t>
  </si>
  <si>
    <t>Sau mổ/PCA mô phỏng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</si>
</sst>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FFFFFF"/>
      <name val="Aptos Narrow"/>
    </font>
    <font>
      <b/>
      <sz val="14"/>
      <color rgb="FF1F4E79"/>
      <name val="Aptos Narrow"/>
    </font>
  </fonts>
  <fills count="6">
    <fill>
      <patternFill patternType="none"/>
    </fill>
    <fill>
      <patternFill patternType="gray125"/>
    </fill>
    <fill>
      <patternFill patternType="solid">
        <fgColor theme="5" tint="0.59996337778862885"/>
        <bgColor indexed="65"/>
      </patternFill>
    </fill>
    <fill>
      <patternFill patternType="solid">
        <fgColor theme="2"/>
      </patternFill>
    </fill>
    <fill>
      <patternFill patternType="solid">
        <fgColor rgb="FF1F4E79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yDoiTable" displayName="QuyDoiTable" ref="A7:K13">
  <tableColumns count="11">
    <tableColumn id="1" xr3:uid="{00000000-0010-0000-0000-000001000000}" name="STT"/>
    <tableColumn id="2" xr3:uid="{00000000-0010-0000-0000-000002000000}" name="Preset"/>
    <tableColumn id="3" xr3:uid="{00000000-0010-0000-0000-000003000000}" name="Nồng độ/quy ước"/>
    <tableColumn id="4" xr3:uid="{00000000-0010-0000-0000-000004000000}" name="Công thức quy đổi"/>
    <tableColumn id="5" xr3:uid="{00000000-0010-0000-0000-000005000000}" name="Dải min (mL/h)"/>
    <tableColumn id="6" xr3:uid="{00000000-0010-0000-0000-000006000000}" name="Dải max (mL/h)"/>
    <tableColumn id="7" xr3:uid="{00000000-0010-0000-0000-000007000000}" name="Mặc định min (mL/h)"/>
    <tableColumn id="8" xr3:uid="{00000000-0010-0000-0000-000008000000}" name="Mặc định max (mL/h)"/>
    <tableColumn id="9" xr3:uid="{00000000-0010-0000-0000-000009000000}" name="VTBI gợi ý bơm 10 mL"/>
    <tableColumn id="10" xr3:uid="{00000000-0010-0000-0000-00000A000000}" name="VTBI gợi ý bơm 20 mL"/>
    <tableColumn id="11" xr3:uid="{00000000-0010-0000-0000-00000B000000}" name="Ghi chú cài đặ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esetNhapMayTable" displayName="PresetNhapMayTable" ref="A2:I12">
  <tableColumns count="9">
    <tableColumn id="1" xr3:uid="{00000000-0010-0000-0100-000001000000}" name="Tên preset"/>
    <tableColumn id="2" xr3:uid="{00000000-0010-0000-0100-000002000000}" name="Syringe"/>
    <tableColumn id="3" xr3:uid="{00000000-0010-0000-0100-000003000000}" name="Tốc độ truyền mặc định (mL/h)"/>
    <tableColumn id="4" xr3:uid="{00000000-0010-0000-0100-000004000000}" name="Dải cho phép (mL/h)"/>
    <tableColumn id="5" xr3:uid="{00000000-0010-0000-0100-000005000000}" name="Thể tích truyền/VTBI (mL)"/>
    <tableColumn id="6" xr3:uid="{00000000-0010-0000-0100-000006000000}" name="Thời gian ước tính"/>
    <tableColumn id="7" xr3:uid="{00000000-0010-0000-0100-000007000000}" name="Đối tượng dùng trong đồ án"/>
    <tableColumn id="8" xr3:uid="{00000000-0010-0000-0100-000008000000}" name="Cảnh báo"/>
    <tableColumn id="9" xr3:uid="{00000000-0010-0000-0100-000009000000}" name="Ghi ch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opLeftCell="A8" workbookViewId="0">
      <selection activeCell="L9" sqref="L9"/>
    </sheetView>
  </sheetViews>
  <sheetFormatPr defaultRowHeight="13.5"/>
  <cols>
    <col min="2" max="2" width="17" customWidth="1"/>
    <col min="3" max="3" width="14.4375" customWidth="1"/>
    <col min="4" max="4" width="8.75" customWidth="1"/>
    <col min="5" max="5" width="34.6875" customWidth="1"/>
    <col min="6" max="6" width="15.3125" customWidth="1"/>
    <col min="7" max="7" width="18.1875" customWidth="1"/>
    <col min="8" max="8" width="23" customWidth="1"/>
    <col min="9" max="9" width="53.6875" customWidth="1"/>
    <col min="10" max="12" width="38" customWidth="1"/>
  </cols>
  <sheetData>
    <row r="1" spans="1:12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2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</row>
    <row r="4" spans="1:12" ht="27.75">
      <c r="A4" s="5"/>
      <c r="B4" s="1" t="s">
        <v>0</v>
      </c>
      <c r="C4" s="1" t="s">
        <v>1</v>
      </c>
      <c r="D4" s="3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6" t="s">
        <v>54</v>
      </c>
      <c r="K4" s="6" t="s">
        <v>55</v>
      </c>
      <c r="L4" s="7" t="s">
        <v>56</v>
      </c>
    </row>
    <row r="5" spans="1:12" ht="67.5">
      <c r="A5" s="5"/>
      <c r="B5" s="2" t="s">
        <v>8</v>
      </c>
      <c r="C5" s="2" t="s">
        <v>9</v>
      </c>
      <c r="D5" s="2" t="s">
        <v>10</v>
      </c>
      <c r="E5" s="2" t="s">
        <v>11</v>
      </c>
      <c r="F5" s="2" t="s">
        <v>12</v>
      </c>
      <c r="G5" s="2" t="s">
        <v>13</v>
      </c>
      <c r="H5" s="2" t="s">
        <v>14</v>
      </c>
      <c r="I5" s="2" t="s">
        <v>15</v>
      </c>
      <c r="J5" s="4" t="s">
        <v>57</v>
      </c>
      <c r="K5" s="4" t="s">
        <v>58</v>
      </c>
      <c r="L5" s="4" t="s">
        <v>59</v>
      </c>
    </row>
    <row r="6" spans="1:12" ht="67.5">
      <c r="A6" s="5"/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 t="s">
        <v>21</v>
      </c>
      <c r="H6" s="2" t="s">
        <v>22</v>
      </c>
      <c r="I6" s="2" t="s">
        <v>23</v>
      </c>
      <c r="J6" s="4" t="s">
        <v>60</v>
      </c>
      <c r="K6" s="4" t="s">
        <v>61</v>
      </c>
      <c r="L6" s="4" t="s">
        <v>62</v>
      </c>
    </row>
    <row r="7" spans="1:12" ht="94.5">
      <c r="A7" s="5"/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4" t="s">
        <v>63</v>
      </c>
      <c r="K7" s="4" t="s">
        <v>64</v>
      </c>
      <c r="L7" s="4" t="s">
        <v>65</v>
      </c>
    </row>
    <row r="8" spans="1:12" ht="135">
      <c r="A8" s="5"/>
      <c r="B8" s="2" t="s">
        <v>32</v>
      </c>
      <c r="C8" s="2" t="s">
        <v>33</v>
      </c>
      <c r="D8" s="2" t="s">
        <v>34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  <c r="J8" s="4" t="s">
        <v>66</v>
      </c>
      <c r="K8" s="4" t="s">
        <v>67</v>
      </c>
      <c r="L8" s="4" t="s">
        <v>68</v>
      </c>
    </row>
    <row r="9" spans="1:12" ht="108">
      <c r="A9" s="5"/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38</v>
      </c>
      <c r="I9" s="2" t="s">
        <v>46</v>
      </c>
      <c r="J9" s="4" t="s">
        <v>69</v>
      </c>
      <c r="K9" s="4" t="s">
        <v>70</v>
      </c>
      <c r="L9" s="4" t="s">
        <v>71</v>
      </c>
    </row>
    <row r="10" spans="1:12" ht="121.5">
      <c r="A10" s="5"/>
      <c r="B10" s="2" t="s">
        <v>47</v>
      </c>
      <c r="C10" s="2" t="s">
        <v>48</v>
      </c>
      <c r="D10" s="2" t="s">
        <v>10</v>
      </c>
      <c r="E10" s="2" t="s">
        <v>49</v>
      </c>
      <c r="F10" s="2" t="s">
        <v>50</v>
      </c>
      <c r="G10" s="2" t="s">
        <v>51</v>
      </c>
      <c r="H10" s="2" t="s">
        <v>52</v>
      </c>
      <c r="I10" s="2" t="s">
        <v>53</v>
      </c>
      <c r="J10" s="4" t="s">
        <v>72</v>
      </c>
      <c r="K10" s="4" t="s">
        <v>73</v>
      </c>
      <c r="L10" s="4" t="s">
        <v>74</v>
      </c>
    </row>
    <row r="11" spans="1:1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0"/>
  <sheetViews>
    <sheetView topLeftCell="D4" zoomScale="107" workbookViewId="0">
      <selection activeCell="L10" sqref="L10"/>
    </sheetView>
  </sheetViews>
  <sheetFormatPr defaultRowHeight="13.5"/>
  <cols>
    <col min="1" max="1" width="13.8125" customWidth="1"/>
    <col min="2" max="2" width="23.9375" bestFit="1" customWidth="1"/>
    <col min="3" max="4" width="24" customWidth="1"/>
    <col min="5" max="8" width="16" customWidth="1"/>
    <col min="9" max="10" width="18" customWidth="1"/>
    <col min="11" max="11" width="40" customWidth="1"/>
  </cols>
  <sheetData>
    <row r="1" spans="1:11" ht="110.85" customHeight="1">
      <c r="A1" s="10" t="s">
        <v>75</v>
      </c>
      <c r="B1" s="10"/>
      <c r="C1" s="10"/>
      <c r="D1" s="10"/>
      <c r="E1" s="10"/>
      <c r="F1" s="10"/>
      <c r="G1" s="10"/>
      <c r="H1" s="10"/>
      <c r="I1" s="10"/>
      <c r="J1" s="8"/>
      <c r="K1" s="8"/>
    </row>
    <row r="2" spans="1:11" ht="40.5">
      <c r="A2" s="5" t="s">
        <v>76</v>
      </c>
      <c r="B2" s="5">
        <v>70</v>
      </c>
      <c r="C2" s="5"/>
      <c r="D2" s="5"/>
      <c r="E2" s="5"/>
      <c r="F2" s="5"/>
      <c r="G2" s="5"/>
      <c r="H2" s="5"/>
      <c r="I2" s="5"/>
      <c r="J2" s="5"/>
      <c r="K2" s="5"/>
    </row>
    <row r="3" spans="1:11" ht="27">
      <c r="A3" s="5" t="s">
        <v>77</v>
      </c>
      <c r="B3" s="5">
        <v>10</v>
      </c>
      <c r="C3" s="5"/>
      <c r="D3" s="5"/>
      <c r="E3" s="5"/>
      <c r="F3" s="5"/>
      <c r="G3" s="5"/>
      <c r="H3" s="5"/>
      <c r="I3" s="5"/>
      <c r="J3" s="5"/>
      <c r="K3" s="5"/>
    </row>
    <row r="4" spans="1:11" ht="27">
      <c r="A4" s="5" t="s">
        <v>78</v>
      </c>
      <c r="B4" s="5">
        <v>3</v>
      </c>
      <c r="C4" s="5"/>
      <c r="D4" s="5"/>
      <c r="E4" s="5"/>
      <c r="F4" s="5"/>
      <c r="G4" s="5"/>
      <c r="H4" s="5"/>
      <c r="I4" s="5"/>
      <c r="J4" s="5"/>
      <c r="K4" s="5"/>
    </row>
    <row r="5" spans="1:11" ht="67.5">
      <c r="A5" s="5" t="s">
        <v>79</v>
      </c>
      <c r="B5" s="5" t="s">
        <v>80</v>
      </c>
      <c r="C5" s="5"/>
      <c r="D5" s="5"/>
      <c r="E5" s="5"/>
      <c r="F5" s="5"/>
      <c r="G5" s="5"/>
      <c r="H5" s="5"/>
      <c r="I5" s="5"/>
      <c r="J5" s="5"/>
      <c r="K5" s="5"/>
    </row>
    <row r="6" spans="1:11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7.75">
      <c r="A7" s="6" t="s">
        <v>81</v>
      </c>
      <c r="B7" s="6" t="s">
        <v>82</v>
      </c>
      <c r="C7" s="6" t="s">
        <v>83</v>
      </c>
      <c r="D7" s="6" t="s">
        <v>84</v>
      </c>
      <c r="E7" s="6" t="s">
        <v>85</v>
      </c>
      <c r="F7" s="6" t="s">
        <v>86</v>
      </c>
      <c r="G7" s="6" t="s">
        <v>87</v>
      </c>
      <c r="H7" s="6" t="s">
        <v>88</v>
      </c>
      <c r="I7" s="6" t="s">
        <v>89</v>
      </c>
      <c r="J7" s="6" t="s">
        <v>90</v>
      </c>
      <c r="K7" s="6" t="s">
        <v>91</v>
      </c>
    </row>
    <row r="8" spans="1:11" ht="27">
      <c r="A8" s="5">
        <v>1</v>
      </c>
      <c r="B8" s="5" t="s">
        <v>9</v>
      </c>
      <c r="C8" s="5" t="s">
        <v>10</v>
      </c>
      <c r="D8" s="5" t="s">
        <v>92</v>
      </c>
      <c r="E8" s="9">
        <f>1</f>
        <v>1</v>
      </c>
      <c r="F8" s="9">
        <f>15</f>
        <v>15</v>
      </c>
      <c r="G8" s="9">
        <f>1</f>
        <v>1</v>
      </c>
      <c r="H8" s="9">
        <f>2</f>
        <v>2</v>
      </c>
      <c r="I8" s="5" t="s">
        <v>93</v>
      </c>
      <c r="J8" s="5" t="s">
        <v>94</v>
      </c>
      <c r="K8" s="5" t="s">
        <v>95</v>
      </c>
    </row>
    <row r="9" spans="1:11" ht="27">
      <c r="A9" s="5">
        <v>2</v>
      </c>
      <c r="B9" s="5" t="s">
        <v>96</v>
      </c>
      <c r="C9" s="5" t="s">
        <v>18</v>
      </c>
      <c r="D9" s="5" t="s">
        <v>97</v>
      </c>
      <c r="E9" s="9">
        <f>0.3*$B$2/10</f>
        <v>2.1</v>
      </c>
      <c r="F9" s="9">
        <f>4*$B$2/10</f>
        <v>28</v>
      </c>
      <c r="G9" s="9">
        <f>0.5*$B$2/10</f>
        <v>3.5</v>
      </c>
      <c r="H9" s="9">
        <f>1*$B$2/10</f>
        <v>7</v>
      </c>
      <c r="I9" s="5" t="s">
        <v>93</v>
      </c>
      <c r="J9" s="5" t="s">
        <v>94</v>
      </c>
      <c r="K9" s="5" t="s">
        <v>98</v>
      </c>
    </row>
    <row r="10" spans="1:11" ht="27">
      <c r="A10" s="5">
        <v>3</v>
      </c>
      <c r="B10" s="5" t="s">
        <v>99</v>
      </c>
      <c r="C10" s="5" t="s">
        <v>100</v>
      </c>
      <c r="D10" s="5" t="s">
        <v>101</v>
      </c>
      <c r="E10" s="9">
        <f>0.01*$B$2*60/80</f>
        <v>0.52500000000000013</v>
      </c>
      <c r="F10" s="9">
        <f>0.4*$B$2*60/80</f>
        <v>21</v>
      </c>
      <c r="G10" s="9">
        <f>0.05*$B$2*60/80</f>
        <v>2.625</v>
      </c>
      <c r="H10" s="9">
        <f>0.1*$B$2*60/80</f>
        <v>5.25</v>
      </c>
      <c r="I10" s="5" t="s">
        <v>93</v>
      </c>
      <c r="J10" s="5" t="s">
        <v>94</v>
      </c>
      <c r="K10" s="5" t="s">
        <v>102</v>
      </c>
    </row>
    <row r="11" spans="1:11" ht="27">
      <c r="A11" s="5">
        <v>4</v>
      </c>
      <c r="B11" s="5" t="s">
        <v>103</v>
      </c>
      <c r="C11" s="5" t="s">
        <v>104</v>
      </c>
      <c r="D11" s="5" t="s">
        <v>105</v>
      </c>
      <c r="E11" s="9">
        <f>15*$B$3/10</f>
        <v>15</v>
      </c>
      <c r="F11" s="9">
        <f>15*$B$3/10</f>
        <v>15</v>
      </c>
      <c r="G11" s="9">
        <f>15*$B$3/10</f>
        <v>15</v>
      </c>
      <c r="H11" s="9">
        <f>15*$B$3/10</f>
        <v>15</v>
      </c>
      <c r="I11" s="5" t="s">
        <v>106</v>
      </c>
      <c r="J11" s="5" t="s">
        <v>106</v>
      </c>
      <c r="K11" s="5" t="s">
        <v>107</v>
      </c>
    </row>
    <row r="12" spans="1:11">
      <c r="A12" s="5">
        <v>5</v>
      </c>
      <c r="B12" s="5" t="s">
        <v>108</v>
      </c>
      <c r="C12" s="5" t="s">
        <v>109</v>
      </c>
      <c r="D12" s="5" t="s">
        <v>110</v>
      </c>
      <c r="E12" s="9">
        <f>0.4*$B$4</f>
        <v>1.2000000000000002</v>
      </c>
      <c r="F12" s="9">
        <f>0.8*$B$4</f>
        <v>2.4000000000000004</v>
      </c>
      <c r="G12" s="9">
        <f>0.6*$B$4</f>
        <v>1.7999999999999998</v>
      </c>
      <c r="H12" s="9">
        <f>0.6*$B$4</f>
        <v>1.7999999999999998</v>
      </c>
      <c r="I12" s="5" t="s">
        <v>93</v>
      </c>
      <c r="J12" s="5" t="s">
        <v>94</v>
      </c>
      <c r="K12" s="5" t="s">
        <v>111</v>
      </c>
    </row>
    <row r="13" spans="1:11" ht="40.5">
      <c r="A13" s="5">
        <v>6</v>
      </c>
      <c r="B13" s="5" t="s">
        <v>112</v>
      </c>
      <c r="C13" s="5" t="s">
        <v>10</v>
      </c>
      <c r="D13" s="5" t="s">
        <v>113</v>
      </c>
      <c r="E13" s="9">
        <f>30</f>
        <v>30</v>
      </c>
      <c r="F13" s="9">
        <f>60</f>
        <v>60</v>
      </c>
      <c r="G13" s="9">
        <f>60</f>
        <v>60</v>
      </c>
      <c r="H13" s="9">
        <f>60</f>
        <v>60</v>
      </c>
      <c r="I13" s="5" t="s">
        <v>114</v>
      </c>
      <c r="J13" s="5" t="s">
        <v>114</v>
      </c>
      <c r="K13" s="5" t="s">
        <v>115</v>
      </c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</sheetData>
  <mergeCells count="1">
    <mergeCell ref="A1:I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0"/>
  <sheetViews>
    <sheetView tabSelected="1" workbookViewId="0">
      <selection activeCell="D16" sqref="D16"/>
    </sheetView>
  </sheetViews>
  <sheetFormatPr defaultRowHeight="13.5"/>
  <cols>
    <col min="1" max="1" width="28" customWidth="1"/>
    <col min="2" max="2" width="12" customWidth="1"/>
    <col min="3" max="4" width="20" customWidth="1"/>
    <col min="5" max="6" width="18" customWidth="1"/>
    <col min="7" max="9" width="28" customWidth="1"/>
  </cols>
  <sheetData>
    <row r="1" spans="1:11" ht="70.5">
      <c r="A1" s="8" t="s">
        <v>116</v>
      </c>
      <c r="B1" s="8"/>
      <c r="C1" s="8"/>
      <c r="D1" s="8"/>
      <c r="E1" s="8"/>
      <c r="F1" s="8"/>
      <c r="G1" s="8"/>
      <c r="H1" s="8"/>
      <c r="I1" s="8"/>
      <c r="J1" s="5"/>
      <c r="K1" s="5"/>
    </row>
    <row r="2" spans="1:11" ht="27.75">
      <c r="A2" s="6" t="s">
        <v>117</v>
      </c>
      <c r="B2" s="6" t="s">
        <v>118</v>
      </c>
      <c r="C2" s="6" t="s">
        <v>119</v>
      </c>
      <c r="D2" s="6" t="s">
        <v>120</v>
      </c>
      <c r="E2" s="6" t="s">
        <v>121</v>
      </c>
      <c r="F2" s="6" t="s">
        <v>122</v>
      </c>
      <c r="G2" s="6" t="s">
        <v>123</v>
      </c>
      <c r="H2" s="6" t="s">
        <v>124</v>
      </c>
      <c r="I2" s="6" t="s">
        <v>125</v>
      </c>
      <c r="J2" s="5"/>
      <c r="K2" s="5"/>
    </row>
    <row r="3" spans="1:11">
      <c r="A3" s="5"/>
      <c r="B3" s="5" t="s">
        <v>93</v>
      </c>
      <c r="C3" s="9">
        <v>1</v>
      </c>
      <c r="D3" s="5" t="s">
        <v>126</v>
      </c>
      <c r="E3" s="9">
        <v>10</v>
      </c>
      <c r="F3" s="5" t="s">
        <v>127</v>
      </c>
      <c r="G3" s="5" t="s">
        <v>128</v>
      </c>
      <c r="H3" s="5"/>
      <c r="I3" s="5"/>
      <c r="J3" s="5"/>
      <c r="K3" s="5"/>
    </row>
    <row r="4" spans="1:11">
      <c r="A4" s="5"/>
      <c r="B4" s="5" t="s">
        <v>94</v>
      </c>
      <c r="C4" s="9">
        <v>2</v>
      </c>
      <c r="D4" s="5" t="s">
        <v>129</v>
      </c>
      <c r="E4" s="9">
        <v>20</v>
      </c>
      <c r="F4" s="5" t="s">
        <v>127</v>
      </c>
      <c r="G4" s="5" t="s">
        <v>128</v>
      </c>
      <c r="H4" s="5"/>
      <c r="I4" s="5"/>
      <c r="J4" s="5"/>
      <c r="K4" s="5"/>
    </row>
    <row r="5" spans="1:11">
      <c r="A5" s="5"/>
      <c r="B5" s="5" t="s">
        <v>94</v>
      </c>
      <c r="C5" s="9">
        <v>3.5</v>
      </c>
      <c r="D5" s="5" t="s">
        <v>130</v>
      </c>
      <c r="E5" s="9">
        <v>20</v>
      </c>
      <c r="F5" s="5" t="s">
        <v>131</v>
      </c>
      <c r="G5" s="5" t="s">
        <v>16</v>
      </c>
      <c r="H5" s="5"/>
      <c r="I5" s="5"/>
      <c r="J5" s="5"/>
      <c r="K5" s="5"/>
    </row>
    <row r="6" spans="1:11">
      <c r="A6" s="5"/>
      <c r="B6" s="5" t="s">
        <v>94</v>
      </c>
      <c r="C6" s="9">
        <v>7</v>
      </c>
      <c r="D6" s="5" t="s">
        <v>130</v>
      </c>
      <c r="E6" s="9">
        <v>20</v>
      </c>
      <c r="F6" s="5" t="s">
        <v>132</v>
      </c>
      <c r="G6" s="5" t="s">
        <v>16</v>
      </c>
      <c r="H6" s="5"/>
      <c r="I6" s="5"/>
      <c r="J6" s="5"/>
      <c r="K6" s="5"/>
    </row>
    <row r="7" spans="1:11">
      <c r="A7" s="5"/>
      <c r="B7" s="5" t="s">
        <v>94</v>
      </c>
      <c r="C7" s="9">
        <v>2.6</v>
      </c>
      <c r="D7" s="5" t="s">
        <v>133</v>
      </c>
      <c r="E7" s="9">
        <v>20</v>
      </c>
      <c r="F7" s="5" t="s">
        <v>134</v>
      </c>
      <c r="G7" s="5" t="s">
        <v>135</v>
      </c>
      <c r="H7" s="5"/>
      <c r="I7" s="5"/>
      <c r="J7" s="5"/>
      <c r="K7" s="5"/>
    </row>
    <row r="8" spans="1:11">
      <c r="A8" s="5"/>
      <c r="B8" s="5" t="s">
        <v>94</v>
      </c>
      <c r="C8" s="9">
        <v>5</v>
      </c>
      <c r="D8" s="5" t="s">
        <v>133</v>
      </c>
      <c r="E8" s="9">
        <v>20</v>
      </c>
      <c r="F8" s="5" t="s">
        <v>136</v>
      </c>
      <c r="G8" s="5" t="s">
        <v>135</v>
      </c>
      <c r="H8" s="5"/>
      <c r="I8" s="5"/>
      <c r="J8" s="5"/>
      <c r="K8" s="5"/>
    </row>
    <row r="9" spans="1:11">
      <c r="A9" s="5"/>
      <c r="B9" s="5" t="s">
        <v>93</v>
      </c>
      <c r="C9" s="9">
        <v>10</v>
      </c>
      <c r="D9" s="5" t="s">
        <v>137</v>
      </c>
      <c r="E9" s="9">
        <v>10</v>
      </c>
      <c r="F9" s="5" t="s">
        <v>138</v>
      </c>
      <c r="G9" s="5" t="s">
        <v>139</v>
      </c>
      <c r="H9" s="5"/>
      <c r="I9" s="5"/>
      <c r="J9" s="5"/>
      <c r="K9" s="5"/>
    </row>
    <row r="10" spans="1:11">
      <c r="A10" s="5"/>
      <c r="B10" s="5" t="s">
        <v>94</v>
      </c>
      <c r="C10" s="9">
        <v>20</v>
      </c>
      <c r="D10" s="5" t="s">
        <v>140</v>
      </c>
      <c r="E10" s="9">
        <v>20</v>
      </c>
      <c r="F10" s="5" t="s">
        <v>138</v>
      </c>
      <c r="G10" s="5" t="s">
        <v>139</v>
      </c>
      <c r="H10" s="5"/>
      <c r="I10" s="5"/>
      <c r="J10" s="5"/>
      <c r="K10" s="5"/>
    </row>
    <row r="11" spans="1:11">
      <c r="A11" s="5"/>
      <c r="B11" s="5" t="s">
        <v>93</v>
      </c>
      <c r="C11" s="9">
        <v>1.8</v>
      </c>
      <c r="D11" s="5" t="s">
        <v>141</v>
      </c>
      <c r="E11" s="9">
        <v>10</v>
      </c>
      <c r="F11" s="5" t="s">
        <v>142</v>
      </c>
      <c r="G11" s="5" t="s">
        <v>40</v>
      </c>
      <c r="H11" s="5"/>
      <c r="I11" s="5"/>
      <c r="J11" s="5"/>
      <c r="K11" s="5"/>
    </row>
    <row r="12" spans="1:11">
      <c r="A12" s="5"/>
      <c r="B12" s="5" t="s">
        <v>93</v>
      </c>
      <c r="C12" s="9">
        <v>60</v>
      </c>
      <c r="D12" s="5" t="s">
        <v>143</v>
      </c>
      <c r="E12" s="9">
        <v>1</v>
      </c>
      <c r="F12" s="5" t="s">
        <v>144</v>
      </c>
      <c r="G12" s="5" t="s">
        <v>145</v>
      </c>
      <c r="H12" s="5"/>
      <c r="I12" s="5"/>
      <c r="J12" s="5"/>
      <c r="K12" s="5"/>
    </row>
    <row r="13" spans="1:1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</row>
    <row r="107" spans="1:1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</row>
    <row r="108" spans="1:1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</row>
    <row r="109" spans="1:1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</row>
    <row r="110" spans="1:1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</row>
    <row r="111" spans="1: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</row>
    <row r="112" spans="1:1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</row>
    <row r="113" spans="1:1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</row>
    <row r="114" spans="1:1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</row>
    <row r="115" spans="1:1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</row>
    <row r="116" spans="1:1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</row>
    <row r="117" spans="1:1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</row>
    <row r="119" spans="1:1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</row>
    <row r="120" spans="1:1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</row>
    <row r="121" spans="1:1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</row>
    <row r="122" spans="1:1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</row>
    <row r="124" spans="1:1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</row>
    <row r="125" spans="1:1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</row>
    <row r="126" spans="1:1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</row>
    <row r="127" spans="1:1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</row>
    <row r="128" spans="1:1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</row>
    <row r="129" spans="1:1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</row>
    <row r="130" spans="1:1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</row>
    <row r="131" spans="1:1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</row>
    <row r="132" spans="1:1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</row>
    <row r="133" spans="1:1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</row>
    <row r="135" spans="1:1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</row>
    <row r="136" spans="1:1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</row>
    <row r="137" spans="1:1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</row>
    <row r="138" spans="1:1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</row>
    <row r="139" spans="1:1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</row>
    <row r="140" spans="1:1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</row>
    <row r="141" spans="1:1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</row>
    <row r="142" spans="1:1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</row>
    <row r="144" spans="1:1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</row>
    <row r="145" spans="1:1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</row>
    <row r="146" spans="1:1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</row>
    <row r="147" spans="1:1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</row>
    <row r="148" spans="1:1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</row>
    <row r="149" spans="1:1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</row>
    <row r="150" spans="1:1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</row>
    <row r="151" spans="1:1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</row>
    <row r="153" spans="1:1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</row>
    <row r="154" spans="1:1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</row>
    <row r="155" spans="1:1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</row>
    <row r="156" spans="1:1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</row>
    <row r="157" spans="1:1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</row>
    <row r="158" spans="1:1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</row>
    <row r="160" spans="1:1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</row>
    <row r="161" spans="1:1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</row>
    <row r="162" spans="1:1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</row>
    <row r="163" spans="1:1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</row>
    <row r="164" spans="1:1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</row>
    <row r="165" spans="1:1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</row>
    <row r="166" spans="1:1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</row>
    <row r="167" spans="1:1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</row>
    <row r="169" spans="1:1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</row>
    <row r="170" spans="1:1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</row>
    <row r="171" spans="1:1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</row>
    <row r="172" spans="1:1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</row>
    <row r="173" spans="1:1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</row>
    <row r="174" spans="1:1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</row>
    <row r="175" spans="1:1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</row>
    <row r="176" spans="1:1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</row>
    <row r="177" spans="1:1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</row>
    <row r="179" spans="1:1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</row>
    <row r="180" spans="1:1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</row>
    <row r="181" spans="1:1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</row>
    <row r="182" spans="1:1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</row>
    <row r="183" spans="1:1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</row>
    <row r="184" spans="1:1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</row>
    <row r="185" spans="1:1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</row>
    <row r="187" spans="1:1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</row>
    <row r="188" spans="1:1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</row>
    <row r="189" spans="1:1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</row>
    <row r="190" spans="1:1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</row>
    <row r="191" spans="1:1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</row>
    <row r="192" spans="1:1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</row>
    <row r="193" spans="1:1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</row>
    <row r="194" spans="1:1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</row>
    <row r="196" spans="1:1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</row>
    <row r="197" spans="1:1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</row>
    <row r="198" spans="1:1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</row>
    <row r="199" spans="1:1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</row>
    <row r="200" spans="1:1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Quy doi mL-h</vt:lpstr>
      <vt:lpstr>Preset nhập máy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Nguyên Anh</cp:lastModifiedBy>
  <dcterms:modified xsi:type="dcterms:W3CDTF">2026-06-03T17:34:49Z</dcterms:modified>
</cp:coreProperties>
</file>